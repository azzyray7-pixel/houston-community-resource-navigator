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verage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3A5F"/>
      <sz val="14"/>
    </font>
    <font>
      <name val="Arial"/>
      <b val="1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5" fillId="0" borderId="0" pivotButton="0" quotePrefix="0" xfId="0"/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dxfs count="3">
    <dxf>
      <fill>
        <patternFill patternType="solid">
          <fgColor rgb="00FBE2E1"/>
          <bgColor rgb="00FBE2E1"/>
        </patternFill>
      </fill>
    </dxf>
    <dxf>
      <font>
        <name val="Arial"/>
        <b val="1"/>
        <color rgb="00A6332A"/>
        <sz val="10"/>
      </font>
      <fill>
        <patternFill patternType="solid">
          <fgColor rgb="00FBE2E1"/>
          <bgColor rgb="00FBE2E1"/>
        </patternFill>
      </fill>
    </dxf>
    <dxf>
      <fill>
        <patternFill patternType="solid">
          <fgColor rgb="00E2F0D9"/>
          <b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Resources by Neighborhood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'Summary'!$A$4:$A$15</f>
            </numRef>
          </cat>
          <val>
            <numRef>
              <f>'Summary'!$G$4:$G$15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Neighborhood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Resource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6" customWidth="1" min="4" max="4"/>
    <col width="8" customWidth="1" min="5" max="5"/>
    <col width="14" customWidth="1" min="6" max="6"/>
    <col width="24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Neighborhood</t>
        </is>
      </c>
      <c r="E1" s="1" t="inlineStr">
        <is>
          <t>ZIP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Description</t>
        </is>
      </c>
    </row>
    <row r="2">
      <c r="A2" s="2" t="n">
        <v>11</v>
      </c>
      <c r="B2" s="2" t="inlineStr">
        <is>
          <t>AAMA Adelante Adult Literacy</t>
        </is>
      </c>
      <c r="C2" s="2" t="inlineStr">
        <is>
          <t>Education &amp; ESL</t>
        </is>
      </c>
      <c r="D2" s="2" t="inlineStr">
        <is>
          <t>East End</t>
        </is>
      </c>
      <c r="E2" s="2" t="inlineStr">
        <is>
          <t>77023</t>
        </is>
      </c>
      <c r="F2" s="2" t="inlineStr">
        <is>
          <t>713-929-2330</t>
        </is>
      </c>
      <c r="G2" s="2" t="inlineStr">
        <is>
          <t>aama.org</t>
        </is>
      </c>
      <c r="H2" s="3" t="inlineStr">
        <is>
          <t>Free ESL adult basic education GED computer literacy and workforce certification classes plus free child care for qualifying students.</t>
        </is>
      </c>
    </row>
    <row r="3">
      <c r="A3" s="2" t="n">
        <v>10</v>
      </c>
      <c r="B3" s="2" t="inlineStr">
        <is>
          <t>AVANCE-Houston</t>
        </is>
      </c>
      <c r="C3" s="2" t="inlineStr">
        <is>
          <t>Education &amp; ESL</t>
        </is>
      </c>
      <c r="D3" s="2" t="inlineStr">
        <is>
          <t>Northside</t>
        </is>
      </c>
      <c r="E3" s="2" t="inlineStr">
        <is>
          <t>77009</t>
        </is>
      </c>
      <c r="F3" s="2" t="inlineStr">
        <is>
          <t>713-869-1684</t>
        </is>
      </c>
      <c r="G3" s="2" t="inlineStr">
        <is>
          <t>avancehouston.org</t>
        </is>
      </c>
      <c r="H3" s="3" t="inlineStr">
        <is>
          <t>Parent and early-childhood education programs including ESL Head Start and General Equivalency Diploma preparation for low-income families.</t>
        </is>
      </c>
    </row>
    <row r="4">
      <c r="A4" s="2" t="n">
        <v>8</v>
      </c>
      <c r="B4" s="2" t="inlineStr">
        <is>
          <t>BakerRipley Adult Education</t>
        </is>
      </c>
      <c r="C4" s="2" t="inlineStr">
        <is>
          <t>Education &amp; ESL</t>
        </is>
      </c>
      <c r="D4" s="2" t="inlineStr">
        <is>
          <t>Citywide</t>
        </is>
      </c>
      <c r="E4" s="2" t="inlineStr"/>
      <c r="F4" s="2" t="inlineStr">
        <is>
          <t>713-273-3719</t>
        </is>
      </c>
      <c r="G4" s="2" t="inlineStr">
        <is>
          <t>economicinitiatives.bakerripley.org</t>
        </is>
      </c>
      <c r="H4" s="3" t="inlineStr">
        <is>
          <t>Free ESL GED and computer literacy classes for adult learners at multiple campuses across Harris County with no minimum education requirement.</t>
        </is>
      </c>
    </row>
    <row r="5">
      <c r="A5" s="2" t="n">
        <v>12</v>
      </c>
      <c r="B5" s="2" t="inlineStr">
        <is>
          <t>HCDE Adult Education ESL</t>
        </is>
      </c>
      <c r="C5" s="2" t="inlineStr">
        <is>
          <t>Education &amp; ESL</t>
        </is>
      </c>
      <c r="D5" s="2" t="inlineStr">
        <is>
          <t>Citywide</t>
        </is>
      </c>
      <c r="E5" s="2" t="inlineStr"/>
      <c r="F5" s="2" t="inlineStr">
        <is>
          <t>713-692-6216</t>
        </is>
      </c>
      <c r="G5" s="2" t="inlineStr">
        <is>
          <t>hcde-texas.org</t>
        </is>
      </c>
      <c r="H5" s="3" t="inlineStr">
        <is>
          <t>Harris County Department of Education program offering free beginning through advanced ESL classes online and in person across the county.</t>
        </is>
      </c>
    </row>
    <row r="6">
      <c r="A6" s="2" t="n">
        <v>13</v>
      </c>
      <c r="B6" s="2" t="inlineStr">
        <is>
          <t>Houston Public Library - Cultural Connections &amp; ESL</t>
        </is>
      </c>
      <c r="C6" s="2" t="inlineStr">
        <is>
          <t>Education &amp; ESL</t>
        </is>
      </c>
      <c r="D6" s="2" t="inlineStr">
        <is>
          <t>Citywide</t>
        </is>
      </c>
      <c r="E6" s="2" t="inlineStr"/>
      <c r="F6" s="2" t="inlineStr">
        <is>
          <t>832-393-1313</t>
        </is>
      </c>
      <c r="G6" s="2" t="inlineStr">
        <is>
          <t>houstonlibrary.org</t>
        </is>
      </c>
      <c r="H6" s="3" t="inlineStr">
        <is>
          <t>Free English and language-learning classes plus cultural-orientation programming open to new immigrants at branches across the city.</t>
        </is>
      </c>
    </row>
    <row r="7">
      <c r="A7" s="2" t="n">
        <v>9</v>
      </c>
      <c r="B7" s="2" t="inlineStr">
        <is>
          <t>Literacy Advance - Memorial Assistance Ministries</t>
        </is>
      </c>
      <c r="C7" s="2" t="inlineStr">
        <is>
          <t>Education &amp; ESL</t>
        </is>
      </c>
      <c r="D7" s="2" t="inlineStr">
        <is>
          <t>Spring Branch</t>
        </is>
      </c>
      <c r="E7" s="2" t="inlineStr">
        <is>
          <t>77080</t>
        </is>
      </c>
      <c r="F7" s="2" t="inlineStr">
        <is>
          <t>713-468-4516</t>
        </is>
      </c>
      <c r="G7" s="2" t="inlineStr">
        <is>
          <t>mamhouston.org</t>
        </is>
      </c>
      <c r="H7" s="3" t="inlineStr">
        <is>
          <t>Free English and reading classes for adults running since 1964 supported by volunteer tutors plus citizenship and employment-readiness classes.</t>
        </is>
      </c>
    </row>
    <row r="8">
      <c r="A8" s="2" t="n">
        <v>17</v>
      </c>
      <c r="B8" s="2" t="inlineStr">
        <is>
          <t>Houston Food Bank</t>
        </is>
      </c>
      <c r="C8" s="2" t="inlineStr">
        <is>
          <t>Food Assistance</t>
        </is>
      </c>
      <c r="D8" s="2" t="inlineStr">
        <is>
          <t>East Houston</t>
        </is>
      </c>
      <c r="E8" s="2" t="inlineStr">
        <is>
          <t>77029</t>
        </is>
      </c>
      <c r="F8" s="2" t="inlineStr">
        <is>
          <t>713-223-3700</t>
        </is>
      </c>
      <c r="G8" s="2" t="inlineStr">
        <is>
          <t>houstonfoodbank.org</t>
        </is>
      </c>
      <c r="H8" s="3" t="inlineStr">
        <is>
          <t>Largest hunger-relief organization in southeast Texas coordinating pantries meal programs and produce distributions across 18 counties.</t>
        </is>
      </c>
    </row>
    <row r="9">
      <c r="A9" s="2" t="n">
        <v>19</v>
      </c>
      <c r="B9" s="2" t="inlineStr">
        <is>
          <t>Interfaith Ministries for Greater Houston</t>
        </is>
      </c>
      <c r="C9" s="2" t="inlineStr">
        <is>
          <t>Food Assistance</t>
        </is>
      </c>
      <c r="D9" s="2" t="inlineStr">
        <is>
          <t>Downtown</t>
        </is>
      </c>
      <c r="E9" s="2" t="inlineStr">
        <is>
          <t>77002</t>
        </is>
      </c>
      <c r="F9" s="2" t="inlineStr">
        <is>
          <t>713-533-4900</t>
        </is>
      </c>
      <c r="G9" s="2" t="inlineStr">
        <is>
          <t>imgh.org</t>
        </is>
      </c>
      <c r="H9" s="3" t="inlineStr">
        <is>
          <t>Emergency food assistance and a Meals on Wheels senior meals program alongside refugee housing English classes and job placement support.</t>
        </is>
      </c>
    </row>
    <row r="10">
      <c r="A10" s="2" t="n">
        <v>20</v>
      </c>
      <c r="B10" s="2" t="inlineStr">
        <is>
          <t>Kids' Meals</t>
        </is>
      </c>
      <c r="C10" s="2" t="inlineStr">
        <is>
          <t>Food Assistance</t>
        </is>
      </c>
      <c r="D10" s="2" t="inlineStr">
        <is>
          <t>Citywide</t>
        </is>
      </c>
      <c r="E10" s="2" t="inlineStr"/>
      <c r="F10" s="2" t="inlineStr">
        <is>
          <t>713-695-5437</t>
        </is>
      </c>
      <c r="G10" s="2" t="inlineStr">
        <is>
          <t>kidsmealsinc.org</t>
        </is>
      </c>
      <c r="H10" s="3" t="inlineStr">
        <is>
          <t>Delivers free healthy meals on weekdays to the homes of children under six and connects families to a broader support network.</t>
        </is>
      </c>
    </row>
    <row r="11">
      <c r="A11" s="2" t="n">
        <v>18</v>
      </c>
      <c r="B11" s="2" t="inlineStr">
        <is>
          <t>Target Hunger</t>
        </is>
      </c>
      <c r="C11" s="2" t="inlineStr">
        <is>
          <t>Food Assistance</t>
        </is>
      </c>
      <c r="D11" s="2" t="inlineStr">
        <is>
          <t>Near Northside</t>
        </is>
      </c>
      <c r="E11" s="2" t="inlineStr">
        <is>
          <t>77026</t>
        </is>
      </c>
      <c r="F11" s="2" t="inlineStr">
        <is>
          <t>713-226-4953</t>
        </is>
      </c>
      <c r="G11" s="2" t="inlineStr">
        <is>
          <t>targethunger.org</t>
        </is>
      </c>
      <c r="H11" s="3" t="inlineStr">
        <is>
          <t>Food assistance and navigation programs that provided food to more than 25000 individuals and 9200 households across Houston in 2025.</t>
        </is>
      </c>
    </row>
    <row r="12">
      <c r="A12" s="2" t="n">
        <v>15</v>
      </c>
      <c r="B12" s="2" t="inlineStr">
        <is>
          <t>El Centro de Corazon</t>
        </is>
      </c>
      <c r="C12" s="2" t="inlineStr">
        <is>
          <t>Healthcare</t>
        </is>
      </c>
      <c r="D12" s="2" t="inlineStr">
        <is>
          <t>East End</t>
        </is>
      </c>
      <c r="E12" s="2" t="inlineStr">
        <is>
          <t>77011</t>
        </is>
      </c>
      <c r="F12" s="2" t="inlineStr">
        <is>
          <t>713-660-1880</t>
        </is>
      </c>
      <c r="G12" s="2" t="inlineStr">
        <is>
          <t>elcentrodecorazon.org</t>
        </is>
      </c>
      <c r="H12" s="3" t="inlineStr">
        <is>
          <t>Federally qualified health center serving low-income and predominantly Hispanic families in Houston's East End with medical and dental care.</t>
        </is>
      </c>
    </row>
    <row r="13">
      <c r="A13" s="2" t="n">
        <v>14</v>
      </c>
      <c r="B13" s="2" t="inlineStr">
        <is>
          <t>HOPE Clinic</t>
        </is>
      </c>
      <c r="C13" s="2" t="inlineStr">
        <is>
          <t>Healthcare</t>
        </is>
      </c>
      <c r="D13" s="2" t="inlineStr">
        <is>
          <t>Southwest Houston</t>
        </is>
      </c>
      <c r="E13" s="2" t="inlineStr">
        <is>
          <t>77036</t>
        </is>
      </c>
      <c r="F13" s="2" t="inlineStr">
        <is>
          <t>713-773-0803</t>
        </is>
      </c>
      <c r="G13" s="2" t="inlineStr">
        <is>
          <t>hopechc.org</t>
        </is>
      </c>
      <c r="H13" s="3" t="inlineStr">
        <is>
          <t>Multicultural community health center providing primary medical dental and behavioral health care for low-income and immigrant families.</t>
        </is>
      </c>
    </row>
    <row r="14">
      <c r="A14" s="2" t="n">
        <v>16</v>
      </c>
      <c r="B14" s="2" t="inlineStr">
        <is>
          <t>Legacy Community Health</t>
        </is>
      </c>
      <c r="C14" s="2" t="inlineStr">
        <is>
          <t>Healthcare</t>
        </is>
      </c>
      <c r="D14" s="2" t="inlineStr">
        <is>
          <t>Citywide</t>
        </is>
      </c>
      <c r="E14" s="2" t="inlineStr"/>
      <c r="F14" s="2" t="inlineStr">
        <is>
          <t>832-548-5000</t>
        </is>
      </c>
      <c r="G14" s="2" t="inlineStr">
        <is>
          <t>legacycommunityhealth.org</t>
        </is>
      </c>
      <c r="H14" s="3" t="inlineStr">
        <is>
          <t>Federally qualified health network with clinics across Houston offering sliding-scale primary care for low-income and uninsured residents.</t>
        </is>
      </c>
    </row>
    <row r="15">
      <c r="A15" s="2" t="n">
        <v>7</v>
      </c>
      <c r="B15" s="2" t="inlineStr">
        <is>
          <t>BakerRipley Gulfton-Sharpstown Campus</t>
        </is>
      </c>
      <c r="C15" s="2" t="inlineStr">
        <is>
          <t>Multi-Service Community Center</t>
        </is>
      </c>
      <c r="D15" s="2" t="inlineStr">
        <is>
          <t>Gulfton</t>
        </is>
      </c>
      <c r="E15" s="2" t="inlineStr">
        <is>
          <t>77074</t>
        </is>
      </c>
      <c r="F15" s="2" t="inlineStr">
        <is>
          <t>713-273-3700</t>
        </is>
      </c>
      <c r="G15" s="2" t="inlineStr">
        <is>
          <t>bakerripley.org</t>
        </is>
      </c>
      <c r="H15" s="3" t="inlineStr">
        <is>
          <t>Five-building neighborhood campus offering early childhood education youth programs immigration services and a community garden for residents from 80-plus countries.</t>
        </is>
      </c>
    </row>
    <row r="16">
      <c r="A16" s="2" t="n">
        <v>5</v>
      </c>
      <c r="B16" s="2" t="inlineStr">
        <is>
          <t>BPSOS-Houston</t>
        </is>
      </c>
      <c r="C16" s="2" t="inlineStr">
        <is>
          <t>Refugee &amp; Immigration Services</t>
        </is>
      </c>
      <c r="D16" s="2" t="inlineStr">
        <is>
          <t>Alief</t>
        </is>
      </c>
      <c r="E16" s="2" t="inlineStr">
        <is>
          <t>77072</t>
        </is>
      </c>
      <c r="F16" s="2" t="inlineStr">
        <is>
          <t>281-530-6888</t>
        </is>
      </c>
      <c r="G16" s="2" t="inlineStr">
        <is>
          <t>bpsos.org</t>
        </is>
      </c>
      <c r="H16" s="3" t="inlineStr">
        <is>
          <t>Boat People S.O.S. affiliate supporting Vietnamese and other Southeast Asian immigrant and refugee families with case management and civic engagement.</t>
        </is>
      </c>
    </row>
    <row r="17">
      <c r="A17" s="2" t="n">
        <v>3</v>
      </c>
      <c r="B17" s="2" t="inlineStr">
        <is>
          <t>CWS Houston</t>
        </is>
      </c>
      <c r="C17" s="2" t="inlineStr">
        <is>
          <t>Refugee &amp; Immigration Services</t>
        </is>
      </c>
      <c r="D17" s="2" t="inlineStr">
        <is>
          <t>Sharpstown</t>
        </is>
      </c>
      <c r="E17" s="2" t="inlineStr">
        <is>
          <t>77074</t>
        </is>
      </c>
      <c r="F17" s="2" t="inlineStr">
        <is>
          <t>346-200-9951</t>
        </is>
      </c>
      <c r="G17" s="2" t="inlineStr">
        <is>
          <t>cwshouston.org</t>
        </is>
      </c>
      <c r="H17" s="3" t="inlineStr">
        <is>
          <t>Resettlement case management housing assistance ESL and cultural orientation referrals and support for unaccompanied minors transitioning into local care.</t>
        </is>
      </c>
    </row>
    <row r="18">
      <c r="A18" s="2" t="n">
        <v>4</v>
      </c>
      <c r="B18" s="2" t="inlineStr">
        <is>
          <t>Catholic Charities of the Archdiocese of Galveston-Houston</t>
        </is>
      </c>
      <c r="C18" s="2" t="inlineStr">
        <is>
          <t>Refugee &amp; Immigration Services</t>
        </is>
      </c>
      <c r="D18" s="2" t="inlineStr">
        <is>
          <t>Midtown</t>
        </is>
      </c>
      <c r="E18" s="2" t="inlineStr">
        <is>
          <t>77006</t>
        </is>
      </c>
      <c r="F18" s="2" t="inlineStr">
        <is>
          <t>713-526-4611</t>
        </is>
      </c>
      <c r="G18" s="2" t="inlineStr">
        <is>
          <t>catholiccharities.org</t>
        </is>
      </c>
      <c r="H18" s="3" t="inlineStr">
        <is>
          <t>Refugee resettlement immigration legal services family strengthening and senior services serving more than 85000 people a year across the region.</t>
        </is>
      </c>
    </row>
    <row r="19">
      <c r="A19" s="2" t="n">
        <v>6</v>
      </c>
      <c r="B19" s="2" t="inlineStr">
        <is>
          <t>Houston Welcomes Refugees</t>
        </is>
      </c>
      <c r="C19" s="2" t="inlineStr">
        <is>
          <t>Refugee &amp; Immigration Services</t>
        </is>
      </c>
      <c r="D19" s="2" t="inlineStr">
        <is>
          <t>Citywide</t>
        </is>
      </c>
      <c r="E19" s="2" t="inlineStr"/>
      <c r="F19" s="2" t="inlineStr">
        <is>
          <t>979-255-5188</t>
        </is>
      </c>
      <c r="G19" s="2" t="inlineStr">
        <is>
          <t>houstonwelcomesrefugees.com</t>
        </is>
      </c>
      <c r="H19" s="3" t="inlineStr">
        <is>
          <t>Volunteer welcome teams that deliver welcome kits and groceries and connect newly arrived refugees to critical resources in their first months.</t>
        </is>
      </c>
    </row>
    <row r="20">
      <c r="A20" s="2" t="n">
        <v>2</v>
      </c>
      <c r="B20" s="2" t="inlineStr">
        <is>
          <t>USCRI Houston</t>
        </is>
      </c>
      <c r="C20" s="2" t="inlineStr">
        <is>
          <t>Refugee &amp; Immigration Services</t>
        </is>
      </c>
      <c r="D20" s="2" t="inlineStr">
        <is>
          <t>Southwest Houston</t>
        </is>
      </c>
      <c r="E20" s="2" t="inlineStr">
        <is>
          <t>77082</t>
        </is>
      </c>
      <c r="F20" s="2" t="inlineStr"/>
      <c r="G20" s="2" t="inlineStr">
        <is>
          <t>refugees.org</t>
        </is>
      </c>
      <c r="H20" s="3" t="inlineStr">
        <is>
          <t>Field office of the U.S. Committee for Refugees and Immigrants providing integration support health navigation and partner referrals for newly arrived families.</t>
        </is>
      </c>
    </row>
    <row r="21">
      <c r="A21" s="2" t="n">
        <v>1</v>
      </c>
      <c r="B21" s="2" t="inlineStr">
        <is>
          <t>YMCA International Services</t>
        </is>
      </c>
      <c r="C21" s="2" t="inlineStr">
        <is>
          <t>Refugee &amp; Immigration Services</t>
        </is>
      </c>
      <c r="D21" s="2" t="inlineStr">
        <is>
          <t>Southwest Houston</t>
        </is>
      </c>
      <c r="E21" s="2" t="inlineStr">
        <is>
          <t>77057</t>
        </is>
      </c>
      <c r="F21" s="2" t="inlineStr">
        <is>
          <t>346-297-2373</t>
        </is>
      </c>
      <c r="G21" s="2" t="inlineStr">
        <is>
          <t>ymcahouston.org</t>
        </is>
      </c>
      <c r="H21" s="3" t="inlineStr">
        <is>
          <t>Case management cultural orientation employment services and immigration legal help for refugees and immigrants in one of Houston's most diverse zip codes.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Resource Count by Neighborhood and Category</t>
        </is>
      </c>
    </row>
    <row r="3">
      <c r="A3" s="1" t="inlineStr">
        <is>
          <t>Neighborhood</t>
        </is>
      </c>
      <c r="B3" s="1" t="inlineStr">
        <is>
          <t>Refugee &amp; Immigration Services</t>
        </is>
      </c>
      <c r="C3" s="1" t="inlineStr">
        <is>
          <t>Multi-Service Community Center</t>
        </is>
      </c>
      <c r="D3" s="1" t="inlineStr">
        <is>
          <t>Education &amp; ESL</t>
        </is>
      </c>
      <c r="E3" s="1" t="inlineStr">
        <is>
          <t>Healthcare</t>
        </is>
      </c>
      <c r="F3" s="1" t="inlineStr">
        <is>
          <t>Food Assistance</t>
        </is>
      </c>
      <c r="G3" s="1" t="inlineStr">
        <is>
          <t>Total</t>
        </is>
      </c>
    </row>
    <row r="4">
      <c r="A4" s="5" t="inlineStr">
        <is>
          <t>Gulfton</t>
        </is>
      </c>
      <c r="B4" s="6">
        <f>COUNTIFS(Resources!$D$2:$D$21,$A4,Resources!$C$2:$C$21,B$3)</f>
        <v/>
      </c>
      <c r="C4" s="6">
        <f>COUNTIFS(Resources!$D$2:$D$21,$A4,Resources!$C$2:$C$21,C$3)</f>
        <v/>
      </c>
      <c r="D4" s="6">
        <f>COUNTIFS(Resources!$D$2:$D$21,$A4,Resources!$C$2:$C$21,D$3)</f>
        <v/>
      </c>
      <c r="E4" s="6">
        <f>COUNTIFS(Resources!$D$2:$D$21,$A4,Resources!$C$2:$C$21,E$3)</f>
        <v/>
      </c>
      <c r="F4" s="6">
        <f>COUNTIFS(Resources!$D$2:$D$21,$A4,Resources!$C$2:$C$21,F$3)</f>
        <v/>
      </c>
      <c r="G4" s="6">
        <f>SUM(B4:F4)</f>
        <v/>
      </c>
    </row>
    <row r="5">
      <c r="A5" s="5" t="inlineStr">
        <is>
          <t>Alief</t>
        </is>
      </c>
      <c r="B5" s="6">
        <f>COUNTIFS(Resources!$D$2:$D$21,$A5,Resources!$C$2:$C$21,B$3)</f>
        <v/>
      </c>
      <c r="C5" s="6">
        <f>COUNTIFS(Resources!$D$2:$D$21,$A5,Resources!$C$2:$C$21,C$3)</f>
        <v/>
      </c>
      <c r="D5" s="6">
        <f>COUNTIFS(Resources!$D$2:$D$21,$A5,Resources!$C$2:$C$21,D$3)</f>
        <v/>
      </c>
      <c r="E5" s="6">
        <f>COUNTIFS(Resources!$D$2:$D$21,$A5,Resources!$C$2:$C$21,E$3)</f>
        <v/>
      </c>
      <c r="F5" s="6">
        <f>COUNTIFS(Resources!$D$2:$D$21,$A5,Resources!$C$2:$C$21,F$3)</f>
        <v/>
      </c>
      <c r="G5" s="6">
        <f>SUM(B5:F5)</f>
        <v/>
      </c>
    </row>
    <row r="6">
      <c r="A6" s="5" t="inlineStr">
        <is>
          <t>Spring Branch</t>
        </is>
      </c>
      <c r="B6" s="6">
        <f>COUNTIFS(Resources!$D$2:$D$21,$A6,Resources!$C$2:$C$21,B$3)</f>
        <v/>
      </c>
      <c r="C6" s="6">
        <f>COUNTIFS(Resources!$D$2:$D$21,$A6,Resources!$C$2:$C$21,C$3)</f>
        <v/>
      </c>
      <c r="D6" s="6">
        <f>COUNTIFS(Resources!$D$2:$D$21,$A6,Resources!$C$2:$C$21,D$3)</f>
        <v/>
      </c>
      <c r="E6" s="6">
        <f>COUNTIFS(Resources!$D$2:$D$21,$A6,Resources!$C$2:$C$21,E$3)</f>
        <v/>
      </c>
      <c r="F6" s="6">
        <f>COUNTIFS(Resources!$D$2:$D$21,$A6,Resources!$C$2:$C$21,F$3)</f>
        <v/>
      </c>
      <c r="G6" s="6">
        <f>SUM(B6:F6)</f>
        <v/>
      </c>
    </row>
    <row r="7">
      <c r="A7" s="5" t="inlineStr">
        <is>
          <t>Sharpstown</t>
        </is>
      </c>
      <c r="B7" s="6">
        <f>COUNTIFS(Resources!$D$2:$D$21,$A7,Resources!$C$2:$C$21,B$3)</f>
        <v/>
      </c>
      <c r="C7" s="6">
        <f>COUNTIFS(Resources!$D$2:$D$21,$A7,Resources!$C$2:$C$21,C$3)</f>
        <v/>
      </c>
      <c r="D7" s="6">
        <f>COUNTIFS(Resources!$D$2:$D$21,$A7,Resources!$C$2:$C$21,D$3)</f>
        <v/>
      </c>
      <c r="E7" s="6">
        <f>COUNTIFS(Resources!$D$2:$D$21,$A7,Resources!$C$2:$C$21,E$3)</f>
        <v/>
      </c>
      <c r="F7" s="6">
        <f>COUNTIFS(Resources!$D$2:$D$21,$A7,Resources!$C$2:$C$21,F$3)</f>
        <v/>
      </c>
      <c r="G7" s="6">
        <f>SUM(B7:F7)</f>
        <v/>
      </c>
    </row>
    <row r="8">
      <c r="A8" s="5" t="inlineStr">
        <is>
          <t>Downtown</t>
        </is>
      </c>
      <c r="B8" s="6">
        <f>COUNTIFS(Resources!$D$2:$D$21,$A8,Resources!$C$2:$C$21,B$3)</f>
        <v/>
      </c>
      <c r="C8" s="6">
        <f>COUNTIFS(Resources!$D$2:$D$21,$A8,Resources!$C$2:$C$21,C$3)</f>
        <v/>
      </c>
      <c r="D8" s="6">
        <f>COUNTIFS(Resources!$D$2:$D$21,$A8,Resources!$C$2:$C$21,D$3)</f>
        <v/>
      </c>
      <c r="E8" s="6">
        <f>COUNTIFS(Resources!$D$2:$D$21,$A8,Resources!$C$2:$C$21,E$3)</f>
        <v/>
      </c>
      <c r="F8" s="6">
        <f>COUNTIFS(Resources!$D$2:$D$21,$A8,Resources!$C$2:$C$21,F$3)</f>
        <v/>
      </c>
      <c r="G8" s="6">
        <f>SUM(B8:F8)</f>
        <v/>
      </c>
    </row>
    <row r="9">
      <c r="A9" s="5" t="inlineStr">
        <is>
          <t>East End</t>
        </is>
      </c>
      <c r="B9" s="6">
        <f>COUNTIFS(Resources!$D$2:$D$21,$A9,Resources!$C$2:$C$21,B$3)</f>
        <v/>
      </c>
      <c r="C9" s="6">
        <f>COUNTIFS(Resources!$D$2:$D$21,$A9,Resources!$C$2:$C$21,C$3)</f>
        <v/>
      </c>
      <c r="D9" s="6">
        <f>COUNTIFS(Resources!$D$2:$D$21,$A9,Resources!$C$2:$C$21,D$3)</f>
        <v/>
      </c>
      <c r="E9" s="6">
        <f>COUNTIFS(Resources!$D$2:$D$21,$A9,Resources!$C$2:$C$21,E$3)</f>
        <v/>
      </c>
      <c r="F9" s="6">
        <f>COUNTIFS(Resources!$D$2:$D$21,$A9,Resources!$C$2:$C$21,F$3)</f>
        <v/>
      </c>
      <c r="G9" s="6">
        <f>SUM(B9:F9)</f>
        <v/>
      </c>
    </row>
    <row r="10">
      <c r="A10" s="5" t="inlineStr">
        <is>
          <t>East Houston</t>
        </is>
      </c>
      <c r="B10" s="6">
        <f>COUNTIFS(Resources!$D$2:$D$21,$A10,Resources!$C$2:$C$21,B$3)</f>
        <v/>
      </c>
      <c r="C10" s="6">
        <f>COUNTIFS(Resources!$D$2:$D$21,$A10,Resources!$C$2:$C$21,C$3)</f>
        <v/>
      </c>
      <c r="D10" s="6">
        <f>COUNTIFS(Resources!$D$2:$D$21,$A10,Resources!$C$2:$C$21,D$3)</f>
        <v/>
      </c>
      <c r="E10" s="6">
        <f>COUNTIFS(Resources!$D$2:$D$21,$A10,Resources!$C$2:$C$21,E$3)</f>
        <v/>
      </c>
      <c r="F10" s="6">
        <f>COUNTIFS(Resources!$D$2:$D$21,$A10,Resources!$C$2:$C$21,F$3)</f>
        <v/>
      </c>
      <c r="G10" s="6">
        <f>SUM(B10:F10)</f>
        <v/>
      </c>
    </row>
    <row r="11">
      <c r="A11" s="5" t="inlineStr">
        <is>
          <t>Midtown</t>
        </is>
      </c>
      <c r="B11" s="6">
        <f>COUNTIFS(Resources!$D$2:$D$21,$A11,Resources!$C$2:$C$21,B$3)</f>
        <v/>
      </c>
      <c r="C11" s="6">
        <f>COUNTIFS(Resources!$D$2:$D$21,$A11,Resources!$C$2:$C$21,C$3)</f>
        <v/>
      </c>
      <c r="D11" s="6">
        <f>COUNTIFS(Resources!$D$2:$D$21,$A11,Resources!$C$2:$C$21,D$3)</f>
        <v/>
      </c>
      <c r="E11" s="6">
        <f>COUNTIFS(Resources!$D$2:$D$21,$A11,Resources!$C$2:$C$21,E$3)</f>
        <v/>
      </c>
      <c r="F11" s="6">
        <f>COUNTIFS(Resources!$D$2:$D$21,$A11,Resources!$C$2:$C$21,F$3)</f>
        <v/>
      </c>
      <c r="G11" s="6">
        <f>SUM(B11:F11)</f>
        <v/>
      </c>
    </row>
    <row r="12">
      <c r="A12" s="5" t="inlineStr">
        <is>
          <t>Near Northside</t>
        </is>
      </c>
      <c r="B12" s="6">
        <f>COUNTIFS(Resources!$D$2:$D$21,$A12,Resources!$C$2:$C$21,B$3)</f>
        <v/>
      </c>
      <c r="C12" s="6">
        <f>COUNTIFS(Resources!$D$2:$D$21,$A12,Resources!$C$2:$C$21,C$3)</f>
        <v/>
      </c>
      <c r="D12" s="6">
        <f>COUNTIFS(Resources!$D$2:$D$21,$A12,Resources!$C$2:$C$21,D$3)</f>
        <v/>
      </c>
      <c r="E12" s="6">
        <f>COUNTIFS(Resources!$D$2:$D$21,$A12,Resources!$C$2:$C$21,E$3)</f>
        <v/>
      </c>
      <c r="F12" s="6">
        <f>COUNTIFS(Resources!$D$2:$D$21,$A12,Resources!$C$2:$C$21,F$3)</f>
        <v/>
      </c>
      <c r="G12" s="6">
        <f>SUM(B12:F12)</f>
        <v/>
      </c>
    </row>
    <row r="13">
      <c r="A13" s="5" t="inlineStr">
        <is>
          <t>Northside</t>
        </is>
      </c>
      <c r="B13" s="6">
        <f>COUNTIFS(Resources!$D$2:$D$21,$A13,Resources!$C$2:$C$21,B$3)</f>
        <v/>
      </c>
      <c r="C13" s="6">
        <f>COUNTIFS(Resources!$D$2:$D$21,$A13,Resources!$C$2:$C$21,C$3)</f>
        <v/>
      </c>
      <c r="D13" s="6">
        <f>COUNTIFS(Resources!$D$2:$D$21,$A13,Resources!$C$2:$C$21,D$3)</f>
        <v/>
      </c>
      <c r="E13" s="6">
        <f>COUNTIFS(Resources!$D$2:$D$21,$A13,Resources!$C$2:$C$21,E$3)</f>
        <v/>
      </c>
      <c r="F13" s="6">
        <f>COUNTIFS(Resources!$D$2:$D$21,$A13,Resources!$C$2:$C$21,F$3)</f>
        <v/>
      </c>
      <c r="G13" s="6">
        <f>SUM(B13:F13)</f>
        <v/>
      </c>
    </row>
    <row r="14">
      <c r="A14" s="5" t="inlineStr">
        <is>
          <t>Southwest Houston</t>
        </is>
      </c>
      <c r="B14" s="6">
        <f>COUNTIFS(Resources!$D$2:$D$21,$A14,Resources!$C$2:$C$21,B$3)</f>
        <v/>
      </c>
      <c r="C14" s="6">
        <f>COUNTIFS(Resources!$D$2:$D$21,$A14,Resources!$C$2:$C$21,C$3)</f>
        <v/>
      </c>
      <c r="D14" s="6">
        <f>COUNTIFS(Resources!$D$2:$D$21,$A14,Resources!$C$2:$C$21,D$3)</f>
        <v/>
      </c>
      <c r="E14" s="6">
        <f>COUNTIFS(Resources!$D$2:$D$21,$A14,Resources!$C$2:$C$21,E$3)</f>
        <v/>
      </c>
      <c r="F14" s="6">
        <f>COUNTIFS(Resources!$D$2:$D$21,$A14,Resources!$C$2:$C$21,F$3)</f>
        <v/>
      </c>
      <c r="G14" s="6">
        <f>SUM(B14:F14)</f>
        <v/>
      </c>
    </row>
    <row r="15">
      <c r="A15" s="5" t="inlineStr">
        <is>
          <t>Citywide</t>
        </is>
      </c>
      <c r="B15" s="6">
        <f>COUNTIFS(Resources!$D$2:$D$21,$A15,Resources!$C$2:$C$21,B$3)</f>
        <v/>
      </c>
      <c r="C15" s="6">
        <f>COUNTIFS(Resources!$D$2:$D$21,$A15,Resources!$C$2:$C$21,C$3)</f>
        <v/>
      </c>
      <c r="D15" s="6">
        <f>COUNTIFS(Resources!$D$2:$D$21,$A15,Resources!$C$2:$C$21,D$3)</f>
        <v/>
      </c>
      <c r="E15" s="6">
        <f>COUNTIFS(Resources!$D$2:$D$21,$A15,Resources!$C$2:$C$21,E$3)</f>
        <v/>
      </c>
      <c r="F15" s="6">
        <f>COUNTIFS(Resources!$D$2:$D$21,$A15,Resources!$C$2:$C$21,F$3)</f>
        <v/>
      </c>
      <c r="G15" s="6">
        <f>SUM(B15:F15)</f>
        <v/>
      </c>
    </row>
  </sheetData>
  <mergeCells count="1">
    <mergeCell ref="A1:G1"/>
  </mergeCells>
  <conditionalFormatting sqref="B4:F15">
    <cfRule type="cellIs" priority="1" operator="equal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24" customWidth="1" min="4" max="4"/>
  </cols>
  <sheetData>
    <row r="1">
      <c r="A1" s="4" t="inlineStr">
        <is>
          <t>Coverage Gaps in High Foreign-Born Focus Neighborhoods</t>
        </is>
      </c>
    </row>
    <row r="2">
      <c r="A2" s="7" t="inlineStr">
        <is>
          <t>Gulfton, Alief, Spring Branch and Sharpstown are flagged as focus areas based on documented high foreign-born / immigrant population share (see data/neighborhood_context.csv).</t>
        </is>
      </c>
    </row>
    <row r="4">
      <c r="A4" s="1" t="inlineStr">
        <is>
          <t>Neighborhood</t>
        </is>
      </c>
      <c r="B4" s="1" t="inlineStr">
        <is>
          <t>Category</t>
        </is>
      </c>
      <c r="C4" s="1" t="inlineStr">
        <is>
          <t>Resource Count</t>
        </is>
      </c>
      <c r="D4" s="1" t="inlineStr">
        <is>
          <t>Status</t>
        </is>
      </c>
    </row>
    <row r="5">
      <c r="A5" s="8" t="inlineStr">
        <is>
          <t>Gulfton</t>
        </is>
      </c>
      <c r="B5" s="8" t="inlineStr">
        <is>
          <t>Refugee &amp; Immigration Services</t>
        </is>
      </c>
      <c r="C5" s="6">
        <f>COUNTIFS(Resources!$D$2:$D$21,$A5,Resources!$C$2:$C$21,$B5)</f>
        <v/>
      </c>
      <c r="D5" s="6">
        <f>IF(C5=0,"Gap - no local provider","Covered")</f>
        <v/>
      </c>
    </row>
    <row r="6">
      <c r="A6" s="8" t="inlineStr">
        <is>
          <t>Gulfton</t>
        </is>
      </c>
      <c r="B6" s="8" t="inlineStr">
        <is>
          <t>Multi-Service Community Center</t>
        </is>
      </c>
      <c r="C6" s="6">
        <f>COUNTIFS(Resources!$D$2:$D$21,$A6,Resources!$C$2:$C$21,$B6)</f>
        <v/>
      </c>
      <c r="D6" s="6">
        <f>IF(C6=0,"Gap - no local provider","Covered")</f>
        <v/>
      </c>
    </row>
    <row r="7">
      <c r="A7" s="8" t="inlineStr">
        <is>
          <t>Gulfton</t>
        </is>
      </c>
      <c r="B7" s="8" t="inlineStr">
        <is>
          <t>Education &amp; ESL</t>
        </is>
      </c>
      <c r="C7" s="6">
        <f>COUNTIFS(Resources!$D$2:$D$21,$A7,Resources!$C$2:$C$21,$B7)</f>
        <v/>
      </c>
      <c r="D7" s="6">
        <f>IF(C7=0,"Gap - no local provider","Covered")</f>
        <v/>
      </c>
    </row>
    <row r="8">
      <c r="A8" s="8" t="inlineStr">
        <is>
          <t>Gulfton</t>
        </is>
      </c>
      <c r="B8" s="8" t="inlineStr">
        <is>
          <t>Healthcare</t>
        </is>
      </c>
      <c r="C8" s="6">
        <f>COUNTIFS(Resources!$D$2:$D$21,$A8,Resources!$C$2:$C$21,$B8)</f>
        <v/>
      </c>
      <c r="D8" s="6">
        <f>IF(C8=0,"Gap - no local provider","Covered")</f>
        <v/>
      </c>
    </row>
    <row r="9">
      <c r="A9" s="8" t="inlineStr">
        <is>
          <t>Gulfton</t>
        </is>
      </c>
      <c r="B9" s="8" t="inlineStr">
        <is>
          <t>Food Assistance</t>
        </is>
      </c>
      <c r="C9" s="6">
        <f>COUNTIFS(Resources!$D$2:$D$21,$A9,Resources!$C$2:$C$21,$B9)</f>
        <v/>
      </c>
      <c r="D9" s="6">
        <f>IF(C9=0,"Gap - no local provider","Covered")</f>
        <v/>
      </c>
    </row>
    <row r="10">
      <c r="A10" s="8" t="inlineStr">
        <is>
          <t>Alief</t>
        </is>
      </c>
      <c r="B10" s="8" t="inlineStr">
        <is>
          <t>Refugee &amp; Immigration Services</t>
        </is>
      </c>
      <c r="C10" s="6">
        <f>COUNTIFS(Resources!$D$2:$D$21,$A10,Resources!$C$2:$C$21,$B10)</f>
        <v/>
      </c>
      <c r="D10" s="6">
        <f>IF(C10=0,"Gap - no local provider","Covered")</f>
        <v/>
      </c>
    </row>
    <row r="11">
      <c r="A11" s="8" t="inlineStr">
        <is>
          <t>Alief</t>
        </is>
      </c>
      <c r="B11" s="8" t="inlineStr">
        <is>
          <t>Multi-Service Community Center</t>
        </is>
      </c>
      <c r="C11" s="6">
        <f>COUNTIFS(Resources!$D$2:$D$21,$A11,Resources!$C$2:$C$21,$B11)</f>
        <v/>
      </c>
      <c r="D11" s="6">
        <f>IF(C11=0,"Gap - no local provider","Covered")</f>
        <v/>
      </c>
    </row>
    <row r="12">
      <c r="A12" s="8" t="inlineStr">
        <is>
          <t>Alief</t>
        </is>
      </c>
      <c r="B12" s="8" t="inlineStr">
        <is>
          <t>Education &amp; ESL</t>
        </is>
      </c>
      <c r="C12" s="6">
        <f>COUNTIFS(Resources!$D$2:$D$21,$A12,Resources!$C$2:$C$21,$B12)</f>
        <v/>
      </c>
      <c r="D12" s="6">
        <f>IF(C12=0,"Gap - no local provider","Covered")</f>
        <v/>
      </c>
    </row>
    <row r="13">
      <c r="A13" s="8" t="inlineStr">
        <is>
          <t>Alief</t>
        </is>
      </c>
      <c r="B13" s="8" t="inlineStr">
        <is>
          <t>Healthcare</t>
        </is>
      </c>
      <c r="C13" s="6">
        <f>COUNTIFS(Resources!$D$2:$D$21,$A13,Resources!$C$2:$C$21,$B13)</f>
        <v/>
      </c>
      <c r="D13" s="6">
        <f>IF(C13=0,"Gap - no local provider","Covered")</f>
        <v/>
      </c>
    </row>
    <row r="14">
      <c r="A14" s="8" t="inlineStr">
        <is>
          <t>Alief</t>
        </is>
      </c>
      <c r="B14" s="8" t="inlineStr">
        <is>
          <t>Food Assistance</t>
        </is>
      </c>
      <c r="C14" s="6">
        <f>COUNTIFS(Resources!$D$2:$D$21,$A14,Resources!$C$2:$C$21,$B14)</f>
        <v/>
      </c>
      <c r="D14" s="6">
        <f>IF(C14=0,"Gap - no local provider","Covered")</f>
        <v/>
      </c>
    </row>
    <row r="15">
      <c r="A15" s="8" t="inlineStr">
        <is>
          <t>Spring Branch</t>
        </is>
      </c>
      <c r="B15" s="8" t="inlineStr">
        <is>
          <t>Refugee &amp; Immigration Services</t>
        </is>
      </c>
      <c r="C15" s="6">
        <f>COUNTIFS(Resources!$D$2:$D$21,$A15,Resources!$C$2:$C$21,$B15)</f>
        <v/>
      </c>
      <c r="D15" s="6">
        <f>IF(C15=0,"Gap - no local provider","Covered")</f>
        <v/>
      </c>
    </row>
    <row r="16">
      <c r="A16" s="8" t="inlineStr">
        <is>
          <t>Spring Branch</t>
        </is>
      </c>
      <c r="B16" s="8" t="inlineStr">
        <is>
          <t>Multi-Service Community Center</t>
        </is>
      </c>
      <c r="C16" s="6">
        <f>COUNTIFS(Resources!$D$2:$D$21,$A16,Resources!$C$2:$C$21,$B16)</f>
        <v/>
      </c>
      <c r="D16" s="6">
        <f>IF(C16=0,"Gap - no local provider","Covered")</f>
        <v/>
      </c>
    </row>
    <row r="17">
      <c r="A17" s="8" t="inlineStr">
        <is>
          <t>Spring Branch</t>
        </is>
      </c>
      <c r="B17" s="8" t="inlineStr">
        <is>
          <t>Education &amp; ESL</t>
        </is>
      </c>
      <c r="C17" s="6">
        <f>COUNTIFS(Resources!$D$2:$D$21,$A17,Resources!$C$2:$C$21,$B17)</f>
        <v/>
      </c>
      <c r="D17" s="6">
        <f>IF(C17=0,"Gap - no local provider","Covered")</f>
        <v/>
      </c>
    </row>
    <row r="18">
      <c r="A18" s="8" t="inlineStr">
        <is>
          <t>Spring Branch</t>
        </is>
      </c>
      <c r="B18" s="8" t="inlineStr">
        <is>
          <t>Healthcare</t>
        </is>
      </c>
      <c r="C18" s="6">
        <f>COUNTIFS(Resources!$D$2:$D$21,$A18,Resources!$C$2:$C$21,$B18)</f>
        <v/>
      </c>
      <c r="D18" s="6">
        <f>IF(C18=0,"Gap - no local provider","Covered")</f>
        <v/>
      </c>
    </row>
    <row r="19">
      <c r="A19" s="8" t="inlineStr">
        <is>
          <t>Spring Branch</t>
        </is>
      </c>
      <c r="B19" s="8" t="inlineStr">
        <is>
          <t>Food Assistance</t>
        </is>
      </c>
      <c r="C19" s="6">
        <f>COUNTIFS(Resources!$D$2:$D$21,$A19,Resources!$C$2:$C$21,$B19)</f>
        <v/>
      </c>
      <c r="D19" s="6">
        <f>IF(C19=0,"Gap - no local provider","Covered")</f>
        <v/>
      </c>
    </row>
    <row r="20">
      <c r="A20" s="8" t="inlineStr">
        <is>
          <t>Sharpstown</t>
        </is>
      </c>
      <c r="B20" s="8" t="inlineStr">
        <is>
          <t>Refugee &amp; Immigration Services</t>
        </is>
      </c>
      <c r="C20" s="6">
        <f>COUNTIFS(Resources!$D$2:$D$21,$A20,Resources!$C$2:$C$21,$B20)</f>
        <v/>
      </c>
      <c r="D20" s="6">
        <f>IF(C20=0,"Gap - no local provider","Covered")</f>
        <v/>
      </c>
    </row>
    <row r="21">
      <c r="A21" s="8" t="inlineStr">
        <is>
          <t>Sharpstown</t>
        </is>
      </c>
      <c r="B21" s="8" t="inlineStr">
        <is>
          <t>Multi-Service Community Center</t>
        </is>
      </c>
      <c r="C21" s="6">
        <f>COUNTIFS(Resources!$D$2:$D$21,$A21,Resources!$C$2:$C$21,$B21)</f>
        <v/>
      </c>
      <c r="D21" s="6">
        <f>IF(C21=0,"Gap - no local provider","Covered")</f>
        <v/>
      </c>
    </row>
    <row r="22">
      <c r="A22" s="8" t="inlineStr">
        <is>
          <t>Sharpstown</t>
        </is>
      </c>
      <c r="B22" s="8" t="inlineStr">
        <is>
          <t>Education &amp; ESL</t>
        </is>
      </c>
      <c r="C22" s="6">
        <f>COUNTIFS(Resources!$D$2:$D$21,$A22,Resources!$C$2:$C$21,$B22)</f>
        <v/>
      </c>
      <c r="D22" s="6">
        <f>IF(C22=0,"Gap - no local provider","Covered")</f>
        <v/>
      </c>
    </row>
    <row r="23">
      <c r="A23" s="8" t="inlineStr">
        <is>
          <t>Sharpstown</t>
        </is>
      </c>
      <c r="B23" s="8" t="inlineStr">
        <is>
          <t>Healthcare</t>
        </is>
      </c>
      <c r="C23" s="6">
        <f>COUNTIFS(Resources!$D$2:$D$21,$A23,Resources!$C$2:$C$21,$B23)</f>
        <v/>
      </c>
      <c r="D23" s="6">
        <f>IF(C23=0,"Gap - no local provider","Covered")</f>
        <v/>
      </c>
    </row>
    <row r="24">
      <c r="A24" s="8" t="inlineStr">
        <is>
          <t>Sharpstown</t>
        </is>
      </c>
      <c r="B24" s="8" t="inlineStr">
        <is>
          <t>Food Assistance</t>
        </is>
      </c>
      <c r="C24" s="6">
        <f>COUNTIFS(Resources!$D$2:$D$21,$A24,Resources!$C$2:$C$21,$B24)</f>
        <v/>
      </c>
      <c r="D24" s="6">
        <f>IF(C24=0,"Gap - no local provider","Covered")</f>
        <v/>
      </c>
    </row>
  </sheetData>
  <mergeCells count="2">
    <mergeCell ref="A1:D1"/>
    <mergeCell ref="A2:D2"/>
  </mergeCells>
  <conditionalFormatting sqref="D5:D24">
    <cfRule type="cellIs" priority="1" operator="equal" dxfId="1">
      <formula>"Gap - no local provider"</formula>
    </cfRule>
    <cfRule type="cellIs" priority="2" operator="equal" dxfId="2">
      <formula>"Covered"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2026-08-27T17:04:41Z</dcterms:created>
  <dcterms:modified xmlns:dcterms="http://purl.org/dc/terms/" xmlns:xsi="http://www.w3.org/2001/XMLSchema-instance" xsi:type="dcterms:W3CDTF">2026-08-27T17:04:41Z</dcterms:modified>
</cp:coreProperties>
</file>